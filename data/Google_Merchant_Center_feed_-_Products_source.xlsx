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color rgb="FF0000FF"/>
      <sz val="11"/>
      <u val="single"/>
    </font>
    <font>
      <name val="Arial"/>
      <color theme="1"/>
      <sz val="11"/>
      <scheme val="minor"/>
    </font>
    <font>
      <name val="Arial"/>
      <color theme="1"/>
      <sz val="9"/>
      <scheme val="minor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EEEEE"/>
        <bgColor rgb="FFEEEEEE"/>
      </patternFill>
    </fill>
    <fill>
      <patternFill patternType="solid">
        <fgColor rgb="FFE4ECF9"/>
        <bgColor rgb="FFE4ECF9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1" xfId="0">
      <alignment horizontal="left" vertical="top" wrapText="1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19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7" min="1" max="3"/>
    <col collapsed="1" width="25.13" customWidth="1" style="7" min="4" max="4"/>
    <col hidden="1" outlineLevel="1" width="25.13" customWidth="1" style="7" min="5" max="6"/>
    <col collapsed="1" width="25.13" customWidth="1" style="7" min="7" max="7"/>
    <col hidden="1" outlineLevel="1" width="25.13" customWidth="1" style="7" min="8" max="8"/>
    <col width="25.13" customWidth="1" style="7" min="9" max="9"/>
    <col collapsed="1" width="25.13" customWidth="1" style="7" min="10" max="10"/>
    <col hidden="1" outlineLevel="1" width="25.13" customWidth="1" style="7" min="11" max="12"/>
    <col width="25.13" customWidth="1" style="7" min="13" max="22"/>
    <col collapsed="1" width="25.13" customWidth="1" style="7" min="23" max="23"/>
    <col hidden="1" outlineLevel="1" width="25.13" customWidth="1" style="7" min="24" max="25"/>
    <col width="25.13" customWidth="1" style="7" min="26" max="40"/>
  </cols>
  <sheetData>
    <row r="1">
      <c r="A1" s="1">
        <f>HYPERLINK("https://support.google.com/merchants/answer/6324405", "id")</f>
        <v/>
      </c>
      <c r="B1" s="1">
        <f>HYPERLINK("https://support.google.com/merchants/answer/6324415", "title")</f>
        <v/>
      </c>
      <c r="C1" s="1">
        <f>HYPERLINK("https://support.google.com/merchants/answer/6324468", "description")</f>
        <v/>
      </c>
      <c r="D1" s="1">
        <f>HYPERLINK("https://support.google.com/merchants/answer/6324448", "availability")</f>
        <v/>
      </c>
      <c r="E1" s="1">
        <f>HYPERLINK("https://support.google.com/merchants/answer/6324470", "availability_date")</f>
        <v/>
      </c>
      <c r="F1" s="1">
        <f>HYPERLINK("https://support.google.com/merchants/answer/6324499", "expiration_date")</f>
        <v/>
      </c>
      <c r="G1" s="1">
        <f>HYPERLINK("https://support.google.com/merchants/answer/6324416", "link")</f>
        <v/>
      </c>
      <c r="H1" s="1">
        <f>HYPERLINK("https://support.google.com/merchants/answer/6324459", "mobile_link")</f>
        <v/>
      </c>
      <c r="I1" s="1">
        <f>HYPERLINK("https://support.google.com/merchants/answer/6324350", "image_link")</f>
        <v/>
      </c>
      <c r="J1" s="1">
        <f>HYPERLINK("https://support.google.com/merchants/answer/6324371", "price")</f>
        <v/>
      </c>
      <c r="K1" s="1">
        <f>HYPERLINK("https://support.google.com/merchants/answer/6324471", "sale_price")</f>
        <v/>
      </c>
      <c r="L1" s="1">
        <f>HYPERLINK("https://support.google.com/merchants/answer/6324460?hl=en&amp;ref_topic=6324338", "sale_price_effective_date")</f>
        <v/>
      </c>
      <c r="M1" s="1">
        <f>HYPERLINK("https://support.google.com/merchants/answer/6324478", "identifier_exists")</f>
        <v/>
      </c>
      <c r="N1" s="1">
        <f>HYPERLINK("https://support.google.com/merchants/answer/6324461", "gtin")</f>
        <v/>
      </c>
      <c r="O1" s="1">
        <f>HYPERLINK("https://support.google.com/merchants/answer/6324482", "mpn")</f>
        <v/>
      </c>
      <c r="P1" s="2" t="inlineStr">
        <is>
          <t>brand</t>
        </is>
      </c>
      <c r="Q1" s="1">
        <f>HYPERLINK("https://support.google.com/merchants/answer/9216100", "product_highlight")</f>
        <v/>
      </c>
      <c r="R1" s="1">
        <f>HYPERLINK("https://support.google.com/merchants/answer/9218260", "product_detail")</f>
        <v/>
      </c>
      <c r="S1" s="1">
        <f>HYPERLINK("https://support.google.com/merchants/answer/6324370", "additional_image_link")</f>
        <v/>
      </c>
      <c r="T1" s="1">
        <f>HYPERLINK("https://support.google.com/merchants/answer/6324469", "condition")</f>
        <v/>
      </c>
      <c r="U1" s="1">
        <f>HYPERLINK("https://support.google.com/merchants/answer/6324508", "adult")</f>
        <v/>
      </c>
      <c r="V1" s="1">
        <f>HYPERLINK("https://support.google.com/merchants/answer/6324487", "color")</f>
        <v/>
      </c>
      <c r="W1" s="1">
        <f>HYPERLINK("https://support.google.com/merchants/answer/6324492", "size")</f>
        <v/>
      </c>
      <c r="X1" s="1">
        <f>HYPERLINK("https://support.google.com/merchants/answer/63244972", "size_type")</f>
        <v/>
      </c>
      <c r="Y1" s="1">
        <f>HYPERLINK("https://support.google.com/merchants/answer/6324502", "size_system")</f>
        <v/>
      </c>
      <c r="Z1" s="1">
        <f>HYPERLINK("https://support.google.com/merchants/answer/6324479", "gender")</f>
        <v/>
      </c>
      <c r="AA1" s="1">
        <f>HYPERLINK("https://support.google.com/merchants/answer/6324410", "material")</f>
        <v/>
      </c>
      <c r="AB1" s="1">
        <f>HYPERLINK("https://support.google.com/merchants/answer/6324483", "pattern")</f>
        <v/>
      </c>
      <c r="AC1" s="1">
        <f>HYPERLINK("https://support.google.com/merchants/answer/6324463", "age_group")</f>
        <v/>
      </c>
      <c r="AD1" s="1">
        <f>HYPERLINK("https://support.google.com/merchants/answer/6324488", "multipack")</f>
        <v/>
      </c>
      <c r="AE1" s="1">
        <f>HYPERLINK("https://support.google.com/merchants/answer/6324449", "is bundle")</f>
        <v/>
      </c>
      <c r="AF1" s="1">
        <f>HYPERLINK("https://support.google.com/merchants/answer/6324455", "unit_pricing_measure")</f>
        <v/>
      </c>
      <c r="AG1" s="1">
        <f>HYPERLINK("https://support.google.com/merchants/answer/6324490", "unit_pricing_base_measure")</f>
        <v/>
      </c>
      <c r="AH1" s="1">
        <f>HYPERLINK("https://support.google.com/merchants/answer/7562785", "energy_efficiency_class")</f>
        <v/>
      </c>
      <c r="AI1" s="1">
        <f>HYPERLINK("https://support.google.com/merchants/answer/7562785", "min_energy_efficiency_class")</f>
        <v/>
      </c>
      <c r="AJ1" s="1">
        <f>HYPERLINK("https://support.google.com/merchants/answer/7562785", "max_energy_efficiency")</f>
        <v/>
      </c>
      <c r="AK1" s="1">
        <f>HYPERLINK("https://support.google.com/merchants/answer/6324507", "item_group_id")</f>
        <v/>
      </c>
      <c r="AL1" s="2" t="inlineStr">
        <is>
          <t>video_link</t>
        </is>
      </c>
      <c r="AM1" s="2" t="inlineStr">
        <is>
          <t>virtual_model_link</t>
        </is>
      </c>
      <c r="AN1" s="2" t="inlineStr">
        <is>
          <t>cost_of_goods_sold</t>
        </is>
      </c>
      <c r="AO1" t="inlineStr">
        <is>
          <t>shipping_weight</t>
        </is>
      </c>
    </row>
    <row r="2">
      <c r="A2" s="0" t="inlineStr">
        <is>
          <t>custom-race-suit</t>
        </is>
      </c>
      <c r="B2" s="0" t="inlineStr">
        <is>
          <t>Custom Race Suit</t>
        </is>
      </c>
      <c r="C2" s="0" t="inlineStr">
        <is>
          <t>Fully bespoke leather race suit built from your own measurements. Your panel layout, colors, and leather grade. Add-ons available: airbag, CE armor, liner.</t>
        </is>
      </c>
      <c r="D2" s="0" t="inlineStr">
        <is>
          <t>in_stock</t>
        </is>
      </c>
      <c r="G2" s="0" t="inlineStr">
        <is>
          <t>https://starwoodracing.us/#product-custom-race-suit</t>
        </is>
      </c>
      <c r="I2" s="0" t="inlineStr">
        <is>
          <t>https://starwoodracing.us/img/suits/custom-1.jpg</t>
        </is>
      </c>
      <c r="J2" s="0" t="inlineStr">
        <is>
          <t>1000.00 USD</t>
        </is>
      </c>
      <c r="M2" s="0" t="inlineStr">
        <is>
          <t>no</t>
        </is>
      </c>
      <c r="P2" s="0" t="inlineStr">
        <is>
          <t>Starwood Racing</t>
        </is>
      </c>
      <c r="S2" s="0" t="inlineStr">
        <is>
          <t>https://starwoodracing.us/img/suits/custom-2.jpg,https://starwoodracing.us/img/suits/custom-3.jpg,https://starwoodracing.us/img/suits/custom-4.jpg,https://starwoodracing.us/img/suits/custom-5.jpg</t>
        </is>
      </c>
      <c r="T2" s="0" t="inlineStr">
        <is>
          <t>new</t>
        </is>
      </c>
      <c r="U2" s="0" t="inlineStr">
        <is>
          <t>no</t>
        </is>
      </c>
      <c r="V2" s="0" t="inlineStr">
        <is>
          <t>Multi-color</t>
        </is>
      </c>
      <c r="W2" s="0" t="inlineStr">
        <is>
          <t>One Size</t>
        </is>
      </c>
      <c r="Z2" s="0" t="inlineStr">
        <is>
          <t>unisex</t>
        </is>
      </c>
      <c r="AA2" s="0" t="inlineStr">
        <is>
          <t>Leather</t>
        </is>
      </c>
      <c r="AB2" s="0" t="inlineStr">
        <is>
          <t>Graphic</t>
        </is>
      </c>
      <c r="AC2" s="0" t="inlineStr">
        <is>
          <t>adult</t>
        </is>
      </c>
      <c r="AO2" t="inlineStr">
        <is>
          <t>6 lb</t>
        </is>
      </c>
    </row>
    <row r="3">
      <c r="A3" s="0" t="inlineStr">
        <is>
          <t>standard-race-suit</t>
        </is>
      </c>
      <c r="B3" s="0" t="inlineStr">
        <is>
          <t>Replica Suit</t>
        </is>
      </c>
      <c r="C3" s="0" t="inlineStr">
        <is>
          <t>Recreates a specific rider or team livery to your spec. Note your rider/details at checkout. Add-ons available: airbag, CE armor, liner.</t>
        </is>
      </c>
      <c r="D3" s="0" t="inlineStr">
        <is>
          <t>in_stock</t>
        </is>
      </c>
      <c r="G3" s="0" t="inlineStr">
        <is>
          <t>https://starwoodracing.us/#product-standard-race-suit</t>
        </is>
      </c>
      <c r="I3" s="0" t="inlineStr">
        <is>
          <t>https://starwoodracing.us/img/suits/replica-1.jpg</t>
        </is>
      </c>
      <c r="J3" s="0" t="inlineStr">
        <is>
          <t>850.00 USD</t>
        </is>
      </c>
      <c r="M3" s="0" t="inlineStr">
        <is>
          <t>no</t>
        </is>
      </c>
      <c r="P3" s="0" t="inlineStr">
        <is>
          <t>Starwood Racing</t>
        </is>
      </c>
      <c r="S3" s="0" t="inlineStr">
        <is>
          <t>https://starwoodracing.us/img/suits/replica-2.jpg,https://starwoodracing.us/img/suits/replica-3.jpg,https://starwoodracing.us/img/suits/replica-4.jpg</t>
        </is>
      </c>
      <c r="T3" s="0" t="inlineStr">
        <is>
          <t>new</t>
        </is>
      </c>
      <c r="U3" s="0" t="inlineStr">
        <is>
          <t>no</t>
        </is>
      </c>
      <c r="V3" s="0" t="inlineStr">
        <is>
          <t>Multi-color</t>
        </is>
      </c>
      <c r="W3" s="0" t="inlineStr">
        <is>
          <t>Custom / see size chart</t>
        </is>
      </c>
      <c r="Z3" s="0" t="inlineStr">
        <is>
          <t>unisex</t>
        </is>
      </c>
      <c r="AA3" s="0" t="inlineStr">
        <is>
          <t>Leather</t>
        </is>
      </c>
      <c r="AB3" s="0" t="inlineStr">
        <is>
          <t>Graphic</t>
        </is>
      </c>
      <c r="AC3" s="0" t="inlineStr">
        <is>
          <t>adult</t>
        </is>
      </c>
      <c r="AO3" t="inlineStr">
        <is>
          <t>6 lb</t>
        </is>
      </c>
    </row>
    <row r="4">
      <c r="A4" s="0" t="inlineStr">
        <is>
          <t>speed-suit</t>
        </is>
      </c>
      <c r="B4" s="0" t="inlineStr">
        <is>
          <t>Speed Suit</t>
        </is>
      </c>
      <c r="C4" s="0" t="inlineStr">
        <is>
          <t>Pre-designed leather race suit, upgraded leather grade and protection, faster turnaround than full custom. CE-rated armor pockets included.</t>
        </is>
      </c>
      <c r="D4" s="0" t="inlineStr">
        <is>
          <t>in_stock</t>
        </is>
      </c>
      <c r="G4" s="0" t="inlineStr">
        <is>
          <t>https://starwoodracing.us/#product-speed-suit</t>
        </is>
      </c>
      <c r="I4" s="0" t="inlineStr">
        <is>
          <t>https://starwoodracing.us/img/suits/speed-suit-1.png</t>
        </is>
      </c>
      <c r="J4" s="0" t="inlineStr">
        <is>
          <t>700.00 USD</t>
        </is>
      </c>
      <c r="M4" s="0" t="inlineStr">
        <is>
          <t>no</t>
        </is>
      </c>
      <c r="P4" s="0" t="inlineStr">
        <is>
          <t>Starwood Racing</t>
        </is>
      </c>
      <c r="S4" s="0" t="inlineStr">
        <is>
          <t>https://starwoodracing.us/img/suits/speed-suit-2.png,https://starwoodracing.us/img/suits/speed-suit-3.png</t>
        </is>
      </c>
      <c r="T4" s="0" t="inlineStr">
        <is>
          <t>new</t>
        </is>
      </c>
      <c r="U4" s="0" t="inlineStr">
        <is>
          <t>no</t>
        </is>
      </c>
      <c r="V4" s="0" t="inlineStr">
        <is>
          <t>Black/Red/White</t>
        </is>
      </c>
      <c r="W4" s="0" t="inlineStr">
        <is>
          <t>Custom / see size chart</t>
        </is>
      </c>
      <c r="Z4" s="0" t="inlineStr">
        <is>
          <t>unisex</t>
        </is>
      </c>
      <c r="AA4" s="0" t="inlineStr">
        <is>
          <t>Leather</t>
        </is>
      </c>
      <c r="AB4" s="0" t="inlineStr">
        <is>
          <t>Graphic</t>
        </is>
      </c>
      <c r="AC4" s="0" t="inlineStr">
        <is>
          <t>adult</t>
        </is>
      </c>
      <c r="AO4" t="inlineStr">
        <is>
          <t>5.5 lb</t>
        </is>
      </c>
    </row>
    <row r="5">
      <c r="A5" s="0" t="inlineStr">
        <is>
          <t>the-visionary</t>
        </is>
      </c>
      <c r="B5" s="0" t="inlineStr">
        <is>
          <t>The Visionary</t>
        </is>
      </c>
      <c r="C5" s="0" t="inlineStr">
        <is>
          <t>Pre-designed cowhide leather race suit, ready to order without a full custom design process. CE-rated inner protection included.</t>
        </is>
      </c>
      <c r="D5" s="0" t="inlineStr">
        <is>
          <t>in_stock</t>
        </is>
      </c>
      <c r="G5" s="0" t="inlineStr">
        <is>
          <t>https://starwoodracing.us/#product-the-visionary</t>
        </is>
      </c>
      <c r="I5" s="0" t="inlineStr">
        <is>
          <t>https://starwoodracing.us/img/suits/visionary-1.png</t>
        </is>
      </c>
      <c r="J5" s="0" t="inlineStr">
        <is>
          <t>750.00 USD</t>
        </is>
      </c>
      <c r="M5" s="0" t="inlineStr">
        <is>
          <t>no</t>
        </is>
      </c>
      <c r="P5" s="0" t="inlineStr">
        <is>
          <t>Starwood Racing</t>
        </is>
      </c>
      <c r="S5" s="0" t="inlineStr">
        <is>
          <t>https://starwoodracing.us/img/suits/visionary-2.png</t>
        </is>
      </c>
      <c r="T5" s="0" t="inlineStr">
        <is>
          <t>new</t>
        </is>
      </c>
      <c r="U5" s="0" t="inlineStr">
        <is>
          <t>no</t>
        </is>
      </c>
      <c r="V5" s="0" t="inlineStr">
        <is>
          <t>Black/Red/White</t>
        </is>
      </c>
      <c r="W5" s="0" t="inlineStr">
        <is>
          <t>Custom / see size chart</t>
        </is>
      </c>
      <c r="Z5" s="0" t="inlineStr">
        <is>
          <t>unisex</t>
        </is>
      </c>
      <c r="AA5" s="0" t="inlineStr">
        <is>
          <t>Leather</t>
        </is>
      </c>
      <c r="AB5" s="0" t="inlineStr">
        <is>
          <t>Graphic</t>
        </is>
      </c>
      <c r="AC5" s="0" t="inlineStr">
        <is>
          <t>adult</t>
        </is>
      </c>
      <c r="AO5" t="inlineStr">
        <is>
          <t>5.5 lb</t>
        </is>
      </c>
    </row>
    <row r="6">
      <c r="A6" s="0" t="inlineStr">
        <is>
          <t>swr-race-glove-single-cuff-strap</t>
        </is>
      </c>
      <c r="B6" s="0" t="inlineStr">
        <is>
          <t>SWR Blade V1 Race Glove</t>
        </is>
      </c>
      <c r="C6" s="0" t="inlineStr">
        <is>
          <t>Single cuff race glove (Blade V1), leather with TPU knuckle/finger protection and palm padding. Quick-secure closure.</t>
        </is>
      </c>
      <c r="D6" s="0" t="inlineStr">
        <is>
          <t>in_stock</t>
        </is>
      </c>
      <c r="G6" s="0" t="inlineStr">
        <is>
          <t>https://starwoodracing.us/#product-swr-race-glove-single-cuff-strap</t>
        </is>
      </c>
      <c r="I6" s="0" t="inlineStr">
        <is>
          <t>https://starwoodracing.us/img/gloves/blade-v1-1.jpg</t>
        </is>
      </c>
      <c r="J6" s="0" t="inlineStr">
        <is>
          <t>175.00 USD</t>
        </is>
      </c>
      <c r="M6" s="0" t="inlineStr">
        <is>
          <t>no</t>
        </is>
      </c>
      <c r="P6" s="0" t="inlineStr">
        <is>
          <t>Starwood Racing</t>
        </is>
      </c>
      <c r="S6" s="0" t="inlineStr"/>
      <c r="T6" s="0" t="inlineStr">
        <is>
          <t>new</t>
        </is>
      </c>
      <c r="U6" s="0" t="inlineStr">
        <is>
          <t>no</t>
        </is>
      </c>
      <c r="V6" s="0" t="inlineStr">
        <is>
          <t>Blue/Red</t>
        </is>
      </c>
      <c r="W6" s="0" t="inlineStr">
        <is>
          <t>Custom / see size chart</t>
        </is>
      </c>
      <c r="Z6" s="0" t="inlineStr">
        <is>
          <t>unisex</t>
        </is>
      </c>
      <c r="AA6" s="0" t="inlineStr">
        <is>
          <t>Leather</t>
        </is>
      </c>
      <c r="AB6" s="0" t="inlineStr">
        <is>
          <t>Solid</t>
        </is>
      </c>
      <c r="AC6" s="0" t="inlineStr">
        <is>
          <t>adult</t>
        </is>
      </c>
      <c r="AO6" t="inlineStr">
        <is>
          <t>1 lb</t>
        </is>
      </c>
    </row>
    <row r="7">
      <c r="A7" s="0" t="inlineStr">
        <is>
          <t>swr-blade-v2-race-glove</t>
        </is>
      </c>
      <c r="B7" s="0" t="inlineStr">
        <is>
          <t>SWR Blade V2 Race Glove</t>
        </is>
      </c>
      <c r="C7" s="0" t="inlineStr">
        <is>
          <t>Blade V2 race glove, leather with TPU knuckle/finger protection and palm padding. Quick-secure closure.</t>
        </is>
      </c>
      <c r="D7" s="0" t="inlineStr">
        <is>
          <t>in_stock</t>
        </is>
      </c>
      <c r="G7" s="0" t="inlineStr">
        <is>
          <t>https://starwoodracing.us/#product-swr-blade-v2-race-glove</t>
        </is>
      </c>
      <c r="I7" s="0" t="inlineStr">
        <is>
          <t>https://starwoodracing.us/img/gloves/blade-v2-1.jpg</t>
        </is>
      </c>
      <c r="J7" s="0" t="inlineStr">
        <is>
          <t>200.00 USD</t>
        </is>
      </c>
      <c r="M7" s="0" t="inlineStr">
        <is>
          <t>no</t>
        </is>
      </c>
      <c r="P7" s="0" t="inlineStr">
        <is>
          <t>Starwood Racing</t>
        </is>
      </c>
      <c r="S7" s="0" t="inlineStr">
        <is>
          <t>https://starwoodracing.us/img/gloves/blade-v2-2.jpg</t>
        </is>
      </c>
      <c r="T7" s="0" t="inlineStr">
        <is>
          <t>new</t>
        </is>
      </c>
      <c r="U7" s="0" t="inlineStr">
        <is>
          <t>no</t>
        </is>
      </c>
      <c r="V7" s="0" t="inlineStr">
        <is>
          <t>Pink/Yellow</t>
        </is>
      </c>
      <c r="W7" s="0" t="inlineStr">
        <is>
          <t>Custom / see size chart</t>
        </is>
      </c>
      <c r="Z7" s="0" t="inlineStr">
        <is>
          <t>unisex</t>
        </is>
      </c>
      <c r="AA7" s="0" t="inlineStr">
        <is>
          <t>Leather</t>
        </is>
      </c>
      <c r="AB7" s="0" t="inlineStr">
        <is>
          <t>Solid</t>
        </is>
      </c>
      <c r="AC7" s="0" t="inlineStr">
        <is>
          <t>adult</t>
        </is>
      </c>
      <c r="AO7" t="inlineStr">
        <is>
          <t>1 lb</t>
        </is>
      </c>
    </row>
    <row r="8">
      <c r="A8" s="0" t="inlineStr">
        <is>
          <t>swr-race-glove-double-cuff-strap</t>
        </is>
      </c>
      <c r="B8" s="0" t="inlineStr">
        <is>
          <t>SWR Race Glove</t>
        </is>
      </c>
      <c r="C8" s="0" t="inlineStr">
        <is>
          <t>Double cuff race glove, leather with TPU knuckle/finger protection and palm padding. Built for track use.</t>
        </is>
      </c>
      <c r="D8" s="0" t="inlineStr">
        <is>
          <t>in_stock</t>
        </is>
      </c>
      <c r="G8" s="0" t="inlineStr">
        <is>
          <t>https://starwoodracing.us/#product-swr-race-glove-double-cuff-strap</t>
        </is>
      </c>
      <c r="I8" s="0" t="inlineStr">
        <is>
          <t>https://starwoodracing.us/img/gloves/race-glove-2.jpg</t>
        </is>
      </c>
      <c r="J8" s="0" t="inlineStr">
        <is>
          <t>160.00 USD</t>
        </is>
      </c>
      <c r="M8" s="0" t="inlineStr">
        <is>
          <t>no</t>
        </is>
      </c>
      <c r="P8" s="0" t="inlineStr">
        <is>
          <t>Starwood Racing</t>
        </is>
      </c>
      <c r="S8" s="0" t="inlineStr">
        <is>
          <t>https://starwoodracing.us/img/gloves/race-glove-1.jpg</t>
        </is>
      </c>
      <c r="T8" s="0" t="inlineStr">
        <is>
          <t>new</t>
        </is>
      </c>
      <c r="U8" s="0" t="inlineStr">
        <is>
          <t>no</t>
        </is>
      </c>
      <c r="V8" s="0" t="inlineStr">
        <is>
          <t>Black/Blue/Yellow</t>
        </is>
      </c>
      <c r="W8" s="0" t="inlineStr">
        <is>
          <t>Custom / see size chart</t>
        </is>
      </c>
      <c r="Z8" s="0" t="inlineStr">
        <is>
          <t>unisex</t>
        </is>
      </c>
      <c r="AA8" s="0" t="inlineStr">
        <is>
          <t>Leather</t>
        </is>
      </c>
      <c r="AB8" s="0" t="inlineStr">
        <is>
          <t>Solid</t>
        </is>
      </c>
      <c r="AC8" s="0" t="inlineStr">
        <is>
          <t>adult</t>
        </is>
      </c>
      <c r="AO8" t="inlineStr">
        <is>
          <t>1 lb</t>
        </is>
      </c>
    </row>
    <row r="9">
      <c r="A9" s="0" t="inlineStr">
        <is>
          <t>swr-street-glove</t>
        </is>
      </c>
      <c r="B9" s="0" t="inlineStr">
        <is>
          <t>SWR Street Glove</t>
        </is>
      </c>
      <c r="C9" s="0" t="inlineStr">
        <is>
          <t>Leather street glove with TPU knuckle/finger protection and palm padding. Quick, easy securing mechanism.</t>
        </is>
      </c>
      <c r="D9" s="0" t="inlineStr">
        <is>
          <t>in_stock</t>
        </is>
      </c>
      <c r="G9" s="0" t="inlineStr">
        <is>
          <t>https://starwoodracing.us/#product-swr-street-glove</t>
        </is>
      </c>
      <c r="I9" s="0" t="inlineStr">
        <is>
          <t>https://starwoodracing.us/img/gloves/street-glove-1.jpeg</t>
        </is>
      </c>
      <c r="J9" s="0" t="inlineStr">
        <is>
          <t>140.00 USD</t>
        </is>
      </c>
      <c r="M9" s="0" t="inlineStr">
        <is>
          <t>no</t>
        </is>
      </c>
      <c r="P9" s="0" t="inlineStr">
        <is>
          <t>Starwood Racing</t>
        </is>
      </c>
      <c r="S9" s="0" t="inlineStr">
        <is>
          <t>https://starwoodracing.us/img/gloves/street-glove-2.jpeg,https://starwoodracing.us/img/gloves/street-glove-3.jpeg</t>
        </is>
      </c>
      <c r="T9" s="0" t="inlineStr">
        <is>
          <t>new</t>
        </is>
      </c>
      <c r="U9" s="0" t="inlineStr">
        <is>
          <t>no</t>
        </is>
      </c>
      <c r="V9" s="0" t="inlineStr">
        <is>
          <t>Black</t>
        </is>
      </c>
      <c r="W9" s="0" t="inlineStr">
        <is>
          <t>Custom / see size chart</t>
        </is>
      </c>
      <c r="Z9" s="0" t="inlineStr">
        <is>
          <t>unisex</t>
        </is>
      </c>
      <c r="AA9" s="0" t="inlineStr">
        <is>
          <t>Leather</t>
        </is>
      </c>
      <c r="AB9" s="0" t="inlineStr">
        <is>
          <t>Solid</t>
        </is>
      </c>
      <c r="AC9" s="0" t="inlineStr">
        <is>
          <t>adult</t>
        </is>
      </c>
      <c r="AO9" t="inlineStr">
        <is>
          <t>1 lb</t>
        </is>
      </c>
    </row>
    <row r="10">
      <c r="A10" s="0" t="inlineStr">
        <is>
          <t>supersonic-boots</t>
        </is>
      </c>
      <c r="B10" s="0" t="inlineStr">
        <is>
          <t>Supersonic Boots</t>
        </is>
      </c>
      <c r="C10" s="0" t="inlineStr">
        <is>
          <t>Breathable race boot with perforated upper/side panels and a snug ankle fit for added crash protection.</t>
        </is>
      </c>
      <c r="D10" s="0" t="inlineStr">
        <is>
          <t>in_stock</t>
        </is>
      </c>
      <c r="G10" s="0" t="inlineStr">
        <is>
          <t>https://starwoodracing.us/#product-supersonic-boots</t>
        </is>
      </c>
      <c r="I10" s="0" t="inlineStr">
        <is>
          <t>https://starwoodracing.us/img/boots/supersonic-1.jpeg</t>
        </is>
      </c>
      <c r="J10" s="0" t="inlineStr">
        <is>
          <t>480.00 USD</t>
        </is>
      </c>
      <c r="M10" s="0" t="inlineStr">
        <is>
          <t>no</t>
        </is>
      </c>
      <c r="P10" s="0" t="inlineStr">
        <is>
          <t>Starwood Racing</t>
        </is>
      </c>
      <c r="S10" s="0" t="inlineStr">
        <is>
          <t>https://starwoodracing.us/img/boots/supersonic-2.jpeg,https://starwoodracing.us/img/boots/supersonic-3.jpeg,https://starwoodracing.us/img/boots/warp-speed-1.jpeg</t>
        </is>
      </c>
      <c r="T10" s="0" t="inlineStr">
        <is>
          <t>new</t>
        </is>
      </c>
      <c r="U10" s="0" t="inlineStr">
        <is>
          <t>no</t>
        </is>
      </c>
      <c r="V10" s="0" t="inlineStr">
        <is>
          <t>Pink/Yellow</t>
        </is>
      </c>
      <c r="W10" s="0" t="inlineStr">
        <is>
          <t>Custom / see size chart</t>
        </is>
      </c>
      <c r="Z10" s="0" t="inlineStr">
        <is>
          <t>unisex</t>
        </is>
      </c>
      <c r="AA10" s="0" t="inlineStr">
        <is>
          <t>Leather</t>
        </is>
      </c>
      <c r="AB10" s="0" t="inlineStr">
        <is>
          <t>Solid</t>
        </is>
      </c>
      <c r="AC10" s="0" t="inlineStr">
        <is>
          <t>adult</t>
        </is>
      </c>
      <c r="AO10" t="inlineStr">
        <is>
          <t>4 lb</t>
        </is>
      </c>
    </row>
    <row r="11">
      <c r="A11" s="0" t="inlineStr">
        <is>
          <t>race-boots</t>
        </is>
      </c>
      <c r="B11" s="0" t="inlineStr">
        <is>
          <t>Warp Speed Boots</t>
        </is>
      </c>
      <c r="C11" s="0" t="inlineStr">
        <is>
          <t>CE certified race boot with Axial Distortion Control ankle system, nylon heel inserts, and perforated upper.</t>
        </is>
      </c>
      <c r="D11" s="0" t="inlineStr">
        <is>
          <t>in_stock</t>
        </is>
      </c>
      <c r="G11" s="0" t="inlineStr">
        <is>
          <t>https://starwoodracing.us/#product-race-boots</t>
        </is>
      </c>
      <c r="I11" s="0" t="inlineStr">
        <is>
          <t>https://starwoodracing.us/img/boots/warp-speed-2.jpg</t>
        </is>
      </c>
      <c r="J11" s="0" t="inlineStr">
        <is>
          <t>350.00 USD</t>
        </is>
      </c>
      <c r="M11" s="0" t="inlineStr">
        <is>
          <t>no</t>
        </is>
      </c>
      <c r="P11" s="0" t="inlineStr">
        <is>
          <t>Starwood Racing</t>
        </is>
      </c>
      <c r="S11" s="0" t="inlineStr"/>
      <c r="T11" s="0" t="inlineStr">
        <is>
          <t>new</t>
        </is>
      </c>
      <c r="U11" s="0" t="inlineStr">
        <is>
          <t>no</t>
        </is>
      </c>
      <c r="V11" s="0" t="inlineStr">
        <is>
          <t>Black/Yellow/Pink</t>
        </is>
      </c>
      <c r="W11" s="0" t="inlineStr">
        <is>
          <t>Custom / see size chart</t>
        </is>
      </c>
      <c r="Z11" s="0" t="inlineStr">
        <is>
          <t>unisex</t>
        </is>
      </c>
      <c r="AA11" s="0" t="inlineStr">
        <is>
          <t>Leather</t>
        </is>
      </c>
      <c r="AB11" s="0" t="inlineStr">
        <is>
          <t>Solid</t>
        </is>
      </c>
      <c r="AC11" s="0" t="inlineStr">
        <is>
          <t>adult</t>
        </is>
      </c>
      <c r="AO11" t="inlineStr">
        <is>
          <t>4 lb</t>
        </is>
      </c>
    </row>
    <row r="12">
      <c r="A12" s="0" t="inlineStr">
        <is>
          <t>custom-leather-jacket</t>
        </is>
      </c>
      <c r="B12" s="0" t="inlineStr">
        <is>
          <t>Custom Leather Jacket</t>
        </is>
      </c>
      <c r="C12" s="0" t="inlineStr">
        <is>
          <t>Standalone custom leather jacket, made to measure. Pairs with matching Custom Leather Pants for a full combo look.</t>
        </is>
      </c>
      <c r="D12" s="0" t="inlineStr">
        <is>
          <t>in_stock</t>
        </is>
      </c>
      <c r="G12" s="0" t="inlineStr">
        <is>
          <t>https://starwoodracing.us/#product-custom-leather-jacket</t>
        </is>
      </c>
      <c r="I12" s="0" t="inlineStr">
        <is>
          <t>https://starwoodracing.us/img/jackets/yamaha-jacket-2.jpeg</t>
        </is>
      </c>
      <c r="J12" s="0" t="inlineStr">
        <is>
          <t>350.00 USD</t>
        </is>
      </c>
      <c r="M12" s="0" t="inlineStr">
        <is>
          <t>no</t>
        </is>
      </c>
      <c r="P12" s="0" t="inlineStr">
        <is>
          <t>Starwood Racing</t>
        </is>
      </c>
      <c r="S12" s="0" t="inlineStr">
        <is>
          <t>https://starwoodracing.us/img/jackets/jacket-1.jpeg,https://starwoodracing.us/img/jackets/jacket-2.jpeg,https://starwoodracing.us/img/jackets/jacket-3.jpeg</t>
        </is>
      </c>
      <c r="T12" s="0" t="inlineStr">
        <is>
          <t>new</t>
        </is>
      </c>
      <c r="U12" s="0" t="inlineStr">
        <is>
          <t>no</t>
        </is>
      </c>
      <c r="V12" s="0" t="inlineStr">
        <is>
          <t>Black</t>
        </is>
      </c>
      <c r="W12" s="0" t="inlineStr">
        <is>
          <t>Custom / see size chart</t>
        </is>
      </c>
      <c r="Z12" s="0" t="inlineStr">
        <is>
          <t>unisex</t>
        </is>
      </c>
      <c r="AA12" s="0" t="inlineStr">
        <is>
          <t>Leather</t>
        </is>
      </c>
      <c r="AB12" s="0" t="inlineStr">
        <is>
          <t>Solid</t>
        </is>
      </c>
      <c r="AC12" s="0" t="inlineStr">
        <is>
          <t>adult</t>
        </is>
      </c>
      <c r="AO12" t="inlineStr">
        <is>
          <t>3.5 lb</t>
        </is>
      </c>
    </row>
    <row r="13">
      <c r="A13" s="0" t="inlineStr">
        <is>
          <t>custom-leather-pants</t>
        </is>
      </c>
      <c r="B13" s="0" t="inlineStr">
        <is>
          <t>Custom Leather Pants</t>
        </is>
      </c>
      <c r="C13" s="0" t="inlineStr">
        <is>
          <t>Standalone custom leather pants, made to measure. Pairs with matching Custom Leather Jacket for a full combo look.</t>
        </is>
      </c>
      <c r="D13" s="0" t="inlineStr">
        <is>
          <t>in_stock</t>
        </is>
      </c>
      <c r="G13" s="0" t="inlineStr">
        <is>
          <t>https://starwoodracing.us/#product-custom-leather-pants</t>
        </is>
      </c>
      <c r="I13" s="0" t="inlineStr">
        <is>
          <t>https://starwoodracing.us/img/jackets/jacket-and-pants-3.jpeg</t>
        </is>
      </c>
      <c r="J13" s="0" t="inlineStr">
        <is>
          <t>350.00 USD</t>
        </is>
      </c>
      <c r="M13" s="0" t="inlineStr">
        <is>
          <t>no</t>
        </is>
      </c>
      <c r="P13" s="0" t="inlineStr">
        <is>
          <t>Starwood Racing</t>
        </is>
      </c>
      <c r="S13" s="0" t="inlineStr">
        <is>
          <t>https://starwoodracing.us/img/jackets/jacket-1.jpeg,https://starwoodracing.us/img/jackets/jacket-2.jpeg,https://starwoodracing.us/img/jackets/jacket-3.jpeg</t>
        </is>
      </c>
      <c r="T13" s="0" t="inlineStr">
        <is>
          <t>new</t>
        </is>
      </c>
      <c r="U13" s="0" t="inlineStr">
        <is>
          <t>no</t>
        </is>
      </c>
      <c r="V13" s="0" t="inlineStr">
        <is>
          <t>Black</t>
        </is>
      </c>
      <c r="W13" s="0" t="inlineStr">
        <is>
          <t>Custom / see size chart</t>
        </is>
      </c>
      <c r="Z13" s="0" t="inlineStr">
        <is>
          <t>unisex</t>
        </is>
      </c>
      <c r="AA13" s="0" t="inlineStr">
        <is>
          <t>Leather</t>
        </is>
      </c>
      <c r="AB13" s="0" t="inlineStr">
        <is>
          <t>Solid</t>
        </is>
      </c>
      <c r="AC13" s="0" t="inlineStr">
        <is>
          <t>adult</t>
        </is>
      </c>
      <c r="AO13" t="inlineStr">
        <is>
          <t>3 lb</t>
        </is>
      </c>
    </row>
    <row r="14">
      <c r="A14" s="0" t="inlineStr">
        <is>
          <t>sliders-black</t>
        </is>
      </c>
      <c r="B14" s="0" t="inlineStr">
        <is>
          <t>Sliders (Black)</t>
        </is>
      </c>
      <c r="C14" s="0" t="inlineStr">
        <is>
          <t>Durable proprietary-blend knee sliders for wet or dry track use. Built for first-time track day riders and pros alike.</t>
        </is>
      </c>
      <c r="D14" s="0" t="inlineStr">
        <is>
          <t>in_stock</t>
        </is>
      </c>
      <c r="G14" s="0" t="inlineStr">
        <is>
          <t>https://starwoodracing.us/#product-sliders</t>
        </is>
      </c>
      <c r="I14" s="0" t="inlineStr">
        <is>
          <t>https://starwoodracing.us/img/sliders/black.png</t>
        </is>
      </c>
      <c r="J14" s="0" t="inlineStr">
        <is>
          <t>25.00 USD</t>
        </is>
      </c>
      <c r="M14" s="0" t="inlineStr">
        <is>
          <t>no</t>
        </is>
      </c>
      <c r="P14" s="0" t="inlineStr">
        <is>
          <t>Starwood Racing</t>
        </is>
      </c>
      <c r="S14" s="0" t="inlineStr">
        <is>
          <t>https://starwoodracing.us/img/sliders/blue.png,https://starwoodracing.us/img/sliders/pink.png,https://starwoodracing.us/img/sliders/red.png,https://starwoodracing.us/img/sliders/white.png</t>
        </is>
      </c>
      <c r="T14" s="0" t="inlineStr">
        <is>
          <t>new</t>
        </is>
      </c>
      <c r="U14" s="0" t="inlineStr">
        <is>
          <t>no</t>
        </is>
      </c>
      <c r="V14" s="0" t="inlineStr">
        <is>
          <t>Black</t>
        </is>
      </c>
      <c r="W14" s="0" t="inlineStr">
        <is>
          <t>One Size</t>
        </is>
      </c>
      <c r="Z14" s="0" t="inlineStr">
        <is>
          <t>unisex</t>
        </is>
      </c>
      <c r="AA14" s="0" t="inlineStr">
        <is>
          <t>Composite</t>
        </is>
      </c>
      <c r="AB14" s="0" t="inlineStr">
        <is>
          <t>Solid</t>
        </is>
      </c>
      <c r="AC14" s="0" t="inlineStr">
        <is>
          <t>adult</t>
        </is>
      </c>
      <c r="AK14" s="0" t="inlineStr">
        <is>
          <t>sliders</t>
        </is>
      </c>
      <c r="AO14" t="inlineStr">
        <is>
          <t>0.3 lb</t>
        </is>
      </c>
    </row>
    <row r="15">
      <c r="A15" s="0" t="inlineStr">
        <is>
          <t>sliders-blue</t>
        </is>
      </c>
      <c r="B15" s="0" t="inlineStr">
        <is>
          <t>Sliders (Blue)</t>
        </is>
      </c>
      <c r="C15" s="0" t="inlineStr">
        <is>
          <t>Durable proprietary-blend knee sliders for wet or dry track use. Built for first-time track day riders and pros alike.</t>
        </is>
      </c>
      <c r="D15" s="0" t="inlineStr">
        <is>
          <t>in_stock</t>
        </is>
      </c>
      <c r="G15" s="0" t="inlineStr">
        <is>
          <t>https://starwoodracing.us/#product-sliders</t>
        </is>
      </c>
      <c r="I15" s="0" t="inlineStr">
        <is>
          <t>https://starwoodracing.us/img/sliders/blue.png</t>
        </is>
      </c>
      <c r="J15" s="0" t="inlineStr">
        <is>
          <t>25.00 USD</t>
        </is>
      </c>
      <c r="M15" s="0" t="inlineStr">
        <is>
          <t>no</t>
        </is>
      </c>
      <c r="P15" s="0" t="inlineStr">
        <is>
          <t>Starwood Racing</t>
        </is>
      </c>
      <c r="S15" s="0" t="inlineStr">
        <is>
          <t>https://starwoodracing.us/img/sliders/blue.png,https://starwoodracing.us/img/sliders/pink.png,https://starwoodracing.us/img/sliders/red.png,https://starwoodracing.us/img/sliders/white.png</t>
        </is>
      </c>
      <c r="T15" s="0" t="inlineStr">
        <is>
          <t>new</t>
        </is>
      </c>
      <c r="U15" s="0" t="inlineStr">
        <is>
          <t>no</t>
        </is>
      </c>
      <c r="V15" s="0" t="inlineStr">
        <is>
          <t>Blue</t>
        </is>
      </c>
      <c r="W15" s="0" t="inlineStr">
        <is>
          <t>One Size</t>
        </is>
      </c>
      <c r="Z15" s="0" t="inlineStr">
        <is>
          <t>unisex</t>
        </is>
      </c>
      <c r="AA15" s="0" t="inlineStr">
        <is>
          <t>Composite</t>
        </is>
      </c>
      <c r="AB15" s="0" t="inlineStr">
        <is>
          <t>Solid</t>
        </is>
      </c>
      <c r="AC15" s="0" t="inlineStr">
        <is>
          <t>adult</t>
        </is>
      </c>
      <c r="AK15" s="0" t="inlineStr">
        <is>
          <t>sliders</t>
        </is>
      </c>
      <c r="AO15" t="inlineStr">
        <is>
          <t>0.3 lb</t>
        </is>
      </c>
    </row>
    <row r="16">
      <c r="A16" s="0" t="inlineStr">
        <is>
          <t>sliders-pink</t>
        </is>
      </c>
      <c r="B16" s="0" t="inlineStr">
        <is>
          <t>Sliders (Pink)</t>
        </is>
      </c>
      <c r="C16" s="0" t="inlineStr">
        <is>
          <t>Durable proprietary-blend knee sliders for wet or dry track use. Built for first-time track day riders and pros alike.</t>
        </is>
      </c>
      <c r="D16" s="0" t="inlineStr">
        <is>
          <t>in_stock</t>
        </is>
      </c>
      <c r="G16" s="0" t="inlineStr">
        <is>
          <t>https://starwoodracing.us/#product-sliders</t>
        </is>
      </c>
      <c r="I16" s="0" t="inlineStr">
        <is>
          <t>https://starwoodracing.us/img/sliders/pink.png</t>
        </is>
      </c>
      <c r="J16" s="0" t="inlineStr">
        <is>
          <t>25.00 USD</t>
        </is>
      </c>
      <c r="M16" s="0" t="inlineStr">
        <is>
          <t>no</t>
        </is>
      </c>
      <c r="P16" s="0" t="inlineStr">
        <is>
          <t>Starwood Racing</t>
        </is>
      </c>
      <c r="S16" s="0" t="inlineStr">
        <is>
          <t>https://starwoodracing.us/img/sliders/blue.png,https://starwoodracing.us/img/sliders/pink.png,https://starwoodracing.us/img/sliders/red.png,https://starwoodracing.us/img/sliders/white.png</t>
        </is>
      </c>
      <c r="T16" s="0" t="inlineStr">
        <is>
          <t>new</t>
        </is>
      </c>
      <c r="U16" s="0" t="inlineStr">
        <is>
          <t>no</t>
        </is>
      </c>
      <c r="V16" s="0" t="inlineStr">
        <is>
          <t>Pink</t>
        </is>
      </c>
      <c r="W16" s="0" t="inlineStr">
        <is>
          <t>One Size</t>
        </is>
      </c>
      <c r="Z16" s="0" t="inlineStr">
        <is>
          <t>unisex</t>
        </is>
      </c>
      <c r="AA16" s="0" t="inlineStr">
        <is>
          <t>Composite</t>
        </is>
      </c>
      <c r="AB16" s="0" t="inlineStr">
        <is>
          <t>Solid</t>
        </is>
      </c>
      <c r="AC16" s="0" t="inlineStr">
        <is>
          <t>adult</t>
        </is>
      </c>
      <c r="AK16" s="0" t="inlineStr">
        <is>
          <t>sliders</t>
        </is>
      </c>
      <c r="AO16" t="inlineStr">
        <is>
          <t>0.3 lb</t>
        </is>
      </c>
    </row>
    <row r="17">
      <c r="A17" s="0" t="inlineStr">
        <is>
          <t>sliders-red</t>
        </is>
      </c>
      <c r="B17" s="0" t="inlineStr">
        <is>
          <t>Sliders (Red)</t>
        </is>
      </c>
      <c r="C17" s="0" t="inlineStr">
        <is>
          <t>Durable proprietary-blend knee sliders for wet or dry track use. Built for first-time track day riders and pros alike.</t>
        </is>
      </c>
      <c r="D17" s="0" t="inlineStr">
        <is>
          <t>in_stock</t>
        </is>
      </c>
      <c r="G17" s="0" t="inlineStr">
        <is>
          <t>https://starwoodracing.us/#product-sliders</t>
        </is>
      </c>
      <c r="I17" s="0" t="inlineStr">
        <is>
          <t>https://starwoodracing.us/img/sliders/red.png</t>
        </is>
      </c>
      <c r="J17" s="0" t="inlineStr">
        <is>
          <t>25.00 USD</t>
        </is>
      </c>
      <c r="M17" s="0" t="inlineStr">
        <is>
          <t>no</t>
        </is>
      </c>
      <c r="P17" s="0" t="inlineStr">
        <is>
          <t>Starwood Racing</t>
        </is>
      </c>
      <c r="S17" s="0" t="inlineStr">
        <is>
          <t>https://starwoodracing.us/img/sliders/blue.png,https://starwoodracing.us/img/sliders/pink.png,https://starwoodracing.us/img/sliders/red.png,https://starwoodracing.us/img/sliders/white.png</t>
        </is>
      </c>
      <c r="T17" s="0" t="inlineStr">
        <is>
          <t>new</t>
        </is>
      </c>
      <c r="U17" s="0" t="inlineStr">
        <is>
          <t>no</t>
        </is>
      </c>
      <c r="V17" s="0" t="inlineStr">
        <is>
          <t>Red</t>
        </is>
      </c>
      <c r="W17" s="0" t="inlineStr">
        <is>
          <t>One Size</t>
        </is>
      </c>
      <c r="Z17" s="0" t="inlineStr">
        <is>
          <t>unisex</t>
        </is>
      </c>
      <c r="AA17" s="0" t="inlineStr">
        <is>
          <t>Composite</t>
        </is>
      </c>
      <c r="AB17" s="0" t="inlineStr">
        <is>
          <t>Solid</t>
        </is>
      </c>
      <c r="AC17" s="0" t="inlineStr">
        <is>
          <t>adult</t>
        </is>
      </c>
      <c r="AK17" s="0" t="inlineStr">
        <is>
          <t>sliders</t>
        </is>
      </c>
      <c r="AO17" t="inlineStr">
        <is>
          <t>0.3 lb</t>
        </is>
      </c>
    </row>
    <row r="18">
      <c r="A18" s="0" t="inlineStr">
        <is>
          <t>sliders-white</t>
        </is>
      </c>
      <c r="B18" s="0" t="inlineStr">
        <is>
          <t>Sliders (White)</t>
        </is>
      </c>
      <c r="C18" s="0" t="inlineStr">
        <is>
          <t>Durable proprietary-blend knee sliders for wet or dry track use. Built for first-time track day riders and pros alike.</t>
        </is>
      </c>
      <c r="D18" s="0" t="inlineStr">
        <is>
          <t>in_stock</t>
        </is>
      </c>
      <c r="G18" s="0" t="inlineStr">
        <is>
          <t>https://starwoodracing.us/#product-sliders</t>
        </is>
      </c>
      <c r="I18" s="0" t="inlineStr">
        <is>
          <t>https://starwoodracing.us/img/sliders/white.png</t>
        </is>
      </c>
      <c r="J18" s="0" t="inlineStr">
        <is>
          <t>25.00 USD</t>
        </is>
      </c>
      <c r="M18" s="0" t="inlineStr">
        <is>
          <t>no</t>
        </is>
      </c>
      <c r="P18" s="0" t="inlineStr">
        <is>
          <t>Starwood Racing</t>
        </is>
      </c>
      <c r="S18" s="0" t="inlineStr">
        <is>
          <t>https://starwoodracing.us/img/sliders/blue.png,https://starwoodracing.us/img/sliders/pink.png,https://starwoodracing.us/img/sliders/red.png,https://starwoodracing.us/img/sliders/white.png</t>
        </is>
      </c>
      <c r="T18" s="0" t="inlineStr">
        <is>
          <t>new</t>
        </is>
      </c>
      <c r="U18" s="0" t="inlineStr">
        <is>
          <t>no</t>
        </is>
      </c>
      <c r="V18" s="0" t="inlineStr">
        <is>
          <t>White</t>
        </is>
      </c>
      <c r="W18" s="0" t="inlineStr">
        <is>
          <t>One Size</t>
        </is>
      </c>
      <c r="Z18" s="0" t="inlineStr">
        <is>
          <t>unisex</t>
        </is>
      </c>
      <c r="AA18" s="0" t="inlineStr">
        <is>
          <t>Composite</t>
        </is>
      </c>
      <c r="AB18" s="0" t="inlineStr">
        <is>
          <t>Solid</t>
        </is>
      </c>
      <c r="AC18" s="0" t="inlineStr">
        <is>
          <t>adult</t>
        </is>
      </c>
      <c r="AK18" s="0" t="inlineStr">
        <is>
          <t>sliders</t>
        </is>
      </c>
      <c r="AO18" t="inlineStr">
        <is>
          <t>0.3 lb</t>
        </is>
      </c>
    </row>
    <row r="19">
      <c r="A19" s="0" t="inlineStr">
        <is>
          <t>sliders-yellow</t>
        </is>
      </c>
      <c r="B19" s="0" t="inlineStr">
        <is>
          <t>Sliders (Yellow)</t>
        </is>
      </c>
      <c r="C19" s="0" t="inlineStr">
        <is>
          <t>Durable proprietary-blend knee sliders for wet or dry track use. Built for first-time track day riders and pros alike.</t>
        </is>
      </c>
      <c r="D19" s="0" t="inlineStr">
        <is>
          <t>in_stock</t>
        </is>
      </c>
      <c r="G19" s="0" t="inlineStr">
        <is>
          <t>https://starwoodracing.us/#product-sliders</t>
        </is>
      </c>
      <c r="I19" s="0" t="inlineStr">
        <is>
          <t>https://starwoodracing.us/img/sliders/yellow.png</t>
        </is>
      </c>
      <c r="J19" s="0" t="inlineStr">
        <is>
          <t>25.00 USD</t>
        </is>
      </c>
      <c r="M19" s="0" t="inlineStr">
        <is>
          <t>no</t>
        </is>
      </c>
      <c r="P19" s="0" t="inlineStr">
        <is>
          <t>Starwood Racing</t>
        </is>
      </c>
      <c r="S19" s="0" t="inlineStr">
        <is>
          <t>https://starwoodracing.us/img/sliders/blue.png,https://starwoodracing.us/img/sliders/pink.png,https://starwoodracing.us/img/sliders/red.png,https://starwoodracing.us/img/sliders/white.png</t>
        </is>
      </c>
      <c r="T19" s="0" t="inlineStr">
        <is>
          <t>new</t>
        </is>
      </c>
      <c r="U19" s="0" t="inlineStr">
        <is>
          <t>no</t>
        </is>
      </c>
      <c r="V19" s="0" t="inlineStr">
        <is>
          <t>Yellow</t>
        </is>
      </c>
      <c r="W19" s="0" t="inlineStr">
        <is>
          <t>One Size</t>
        </is>
      </c>
      <c r="Z19" s="0" t="inlineStr">
        <is>
          <t>unisex</t>
        </is>
      </c>
      <c r="AA19" s="0" t="inlineStr">
        <is>
          <t>Composite</t>
        </is>
      </c>
      <c r="AB19" s="0" t="inlineStr">
        <is>
          <t>Solid</t>
        </is>
      </c>
      <c r="AC19" s="0" t="inlineStr">
        <is>
          <t>adult</t>
        </is>
      </c>
      <c r="AK19" s="0" t="inlineStr">
        <is>
          <t>sliders</t>
        </is>
      </c>
      <c r="AO19" t="inlineStr">
        <is>
          <t>0.3 lb</t>
        </is>
      </c>
    </row>
  </sheetData>
  <dataValidations count="8">
    <dataValidation sqref="AH3:AJ4 AH6:AJ55" showDropDown="0" showInputMessage="0" showErrorMessage="0" allowBlank="1" type="list">
      <formula1>",A+++,A++,A+,A,A,B,C,D,E,F,G"</formula1>
    </dataValidation>
    <dataValidation sqref="AC3:AC4 AC6:AC55" showDropDown="0" showInputMessage="0" showErrorMessage="0" allowBlank="1" type="list">
      <formula1>",newborn,infant,toddler,children,adult"</formula1>
    </dataValidation>
    <dataValidation sqref="X3:X4 X6:X55" showDropDown="0" showInputMessage="0" showErrorMessage="0" allowBlank="1" type="list">
      <formula1>",regular,petite,plus,tall,big,maternity"</formula1>
    </dataValidation>
    <dataValidation sqref="Z3:Z4 Z6:Z55" showDropDown="0" showInputMessage="0" showErrorMessage="0" allowBlank="1" type="list">
      <formula1>",female,male,unisex"</formula1>
    </dataValidation>
    <dataValidation sqref="U3:U4 U6:U55" showDropDown="0" showInputMessage="0" showErrorMessage="0" allowBlank="1" type="list">
      <formula1>",yes,no"</formula1>
    </dataValidation>
    <dataValidation sqref="D3:D4 D6:D55" showDropDown="0" showInputMessage="0" showErrorMessage="1" allowBlank="1" type="list">
      <formula1>"in_stock,out_of_stock,preorder,backorder"</formula1>
    </dataValidation>
    <dataValidation sqref="T3:T4 T6:T55" showDropDown="0" showInputMessage="0" showErrorMessage="0" allowBlank="1" type="list">
      <formula1>",new,refurbished,used"</formula1>
    </dataValidation>
    <dataValidation sqref="M3:M4 M6:M55" showDropDown="0" showInputMessage="0" showErrorMessage="1" allowBlank="1" type="list">
      <formula1>",yes,no"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2026-07-27T02:53:54Z</dcterms:created>
  <dcterms:modified xmlns:dcterms="http://purl.org/dc/terms/" xmlns:xsi="http://www.w3.org/2001/XMLSchema-instance" xsi:type="dcterms:W3CDTF">2026-07-27T17:01:55Z</dcterms:modified>
</cp:coreProperties>
</file>